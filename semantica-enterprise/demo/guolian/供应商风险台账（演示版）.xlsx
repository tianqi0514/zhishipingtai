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aac1c0ab6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风险台账" sheetId="1" r:id="R86a2dff2dd574759"/>
    <x:sheet xmlns:r="http://schemas.openxmlformats.org/officeDocument/2006/relationships" name="评分与治理说明" sheetId="2" r:id="Rdf3eb7ea81b24d7b"/>
    <x:sheet xmlns:r="http://schemas.openxmlformats.org/officeDocument/2006/relationships" name="风险概览" sheetId="3" r:id="R6658728dedd4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7364B"/>
      <x:name val="Carlito"/>
    </x:font>
    <x:font>
      <x:b/>
      <x:sz val="20"/>
      <x:color rgb="FFFFFFFF"/>
      <x:name val="Carlito"/>
    </x:font>
    <x:font>
      <x:sz val="11"/>
      <x:color rgb="FF7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0F3D75"/>
      </x:patternFill>
    </x:fill>
    <x:fill>
      <x:patternFill patternType="solid">
        <x:fgColor rgb="FFF7F9FC"/>
      </x:patternFill>
    </x:fill>
    <x:fill>
      <x:patternFill patternType="solid">
        <x:fgColor rgb="FFFFF8E6"/>
      </x:patternFill>
    </x:fill>
  </x:fills>
  <x:borders count="2">
    <x:border/>
    <x:border>
      <x:left style="thin">
        <x:color rgb="FFD9E2F1"/>
      </x:left>
      <x:right style="thin">
        <x:color rgb="FFD9E2F1"/>
      </x:right>
      <x:top style="thin">
        <x:color rgb="FFD9E2F1"/>
      </x:top>
      <x:bottom style="thin">
        <x:color rgb="FFD9E2F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8538faa744067" /><Relationship Type="http://schemas.openxmlformats.org/officeDocument/2006/relationships/theme" Target="/xl/theme/theme1.xml" Id="R84e18d73556044e2" /><Relationship Type="http://schemas.openxmlformats.org/officeDocument/2006/relationships/sharedStrings" Target="/xl/sharedStrings.xml" Id="Raf77a45625ff44fc" /><Relationship Type="http://schemas.openxmlformats.org/officeDocument/2006/relationships/worksheet" Target="/xl/worksheets/sheet1.xml" Id="R86a2dff2dd574759" /><Relationship Type="http://schemas.openxmlformats.org/officeDocument/2006/relationships/worksheet" Target="/xl/worksheets/sheet2.xml" Id="Rdf3eb7ea81b24d7b" /><Relationship Type="http://schemas.openxmlformats.org/officeDocument/2006/relationships/worksheet" Target="/xl/worksheets/sheet3.xml" Id="R6658728dedd4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20" hidden="0" customWidth="1"/>
    <x:col min="8" max="8" width="24" hidden="0" customWidth="1"/>
    <x:col min="9" max="9" width="20" hidden="0" customWidth="1"/>
    <x:col min="10" max="10" width="14" hidden="0" customWidth="1"/>
    <x:col min="11" max="11" width="12" hidden="0" customWidth="1"/>
    <x:col min="12" max="12" width="34" hidden="0" customWidth="1"/>
    <x:col min="13" max="13" width="30" hidden="0" customWidth="1"/>
  </x:cols>
  <x:sheetData>
    <x:row r="1" ht="34" customHeight="1">
      <x:c r="A1" s="5" t="str">
        <x:v>风险编号</x:v>
      </x:c>
      <x:c r="B1" s="5" t="str">
        <x:v>供应商名称</x:v>
      </x:c>
      <x:c r="C1" s="5" t="str">
        <x:v>统一编码</x:v>
      </x:c>
      <x:c r="D1" s="5" t="str">
        <x:v>风险类型</x:v>
      </x:c>
      <x:c r="E1" s="5" t="str">
        <x:v>风险等级</x:v>
      </x:c>
      <x:c r="F1" s="5" t="str">
        <x:v>发现日期</x:v>
      </x:c>
      <x:c r="G1" s="5" t="str">
        <x:v>涉及产品</x:v>
      </x:c>
      <x:c r="H1" s="5" t="str">
        <x:v>涉及项目</x:v>
      </x:c>
      <x:c r="I1" s="5" t="str">
        <x:v>责任部门</x:v>
      </x:c>
      <x:c r="J1" s="5" t="str">
        <x:v>处置状态</x:v>
      </x:c>
      <x:c r="K1" s="5" t="str">
        <x:v>风险评分</x:v>
      </x:c>
      <x:c r="L1" s="5" t="str">
        <x:v>建议措施</x:v>
      </x:c>
      <x:c r="M1" s="5" t="str">
        <x:v>数据声明</x:v>
      </x:c>
    </x:row>
    <x:row r="2" ht="42" customHeight="1">
      <x:c r="A2" s="9" t="str">
        <x:v>RISK-2026-001</x:v>
      </x:c>
      <x:c r="B2" s="9" t="str">
        <x:v>东方智造</x:v>
      </x:c>
      <x:c r="C2" s="9" t="str">
        <x:v>SUP-001</x:v>
      </x:c>
      <x:c r="D2" s="9" t="str">
        <x:v>交付延期</x:v>
      </x:c>
      <x:c r="E2" s="9" t="str">
        <x:v>高</x:v>
      </x:c>
      <x:c r="F2" s="10" t="n">
        <x:v>46262</x:v>
      </x:c>
      <x:c r="G2" s="9" t="str">
        <x:v>NexusOne</x:v>
      </x:c>
      <x:c r="H2" s="9" t="str">
        <x:v>智慧流程中枢项目</x:v>
      </x:c>
      <x:c r="I2" s="9" t="str">
        <x:v>数字化管理部</x:v>
      </x:c>
      <x:c r="J2" s="9" t="str">
        <x:v>跟踪中</x:v>
      </x:c>
      <x:c r="K2" s="11" t="n">
        <x:f>IF(E2="高",5,IF(E2="中",3,1))</x:f>
        <x:v>5</x:v>
      </x:c>
      <x:c r="L2" s="9" t="str">
        <x:v>协调替代供货与部署窗口</x:v>
      </x:c>
      <x:c r="M2" s="9" t="str">
        <x:v>演示数据，不代表国联集团真实经营数据。</x:v>
      </x:c>
    </x:row>
    <x:row r="3" ht="42" customHeight="1">
      <x:c r="A3" s="9" t="str">
        <x:v>RISK-2026-002</x:v>
      </x:c>
      <x:c r="B3" s="9" t="str">
        <x:v>东方智造有限公司</x:v>
      </x:c>
      <x:c r="C3" s="9" t="str">
        <x:v>SUP-001</x:v>
      </x:c>
      <x:c r="D3" s="9" t="str">
        <x:v>名称重复</x:v>
      </x:c>
      <x:c r="E3" s="9" t="str">
        <x:v>中</x:v>
      </x:c>
      <x:c r="F3" s="10" t="n">
        <x:v>46263</x:v>
      </x:c>
      <x:c r="G3" s="9" t="str">
        <x:v>NexusOne</x:v>
      </x:c>
      <x:c r="H3" s="9" t="str">
        <x:v>智慧流程中枢项目</x:v>
      </x:c>
      <x:c r="I3" s="9" t="str">
        <x:v>集团采购管理部</x:v>
      </x:c>
      <x:c r="J3" s="9" t="str">
        <x:v>待治理</x:v>
      </x:c>
      <x:c r="K3" s="11" t="n">
        <x:f>IF(E3="高",5,IF(E3="中",3,1))</x:f>
        <x:v>3</x:v>
      </x:c>
      <x:c r="L3" s="9" t="str">
        <x:v>依据统一编码确认主体别名</x:v>
      </x:c>
      <x:c r="M3" s="9" t="str">
        <x:v>演示数据，不代表国联集团真实经营数据。</x:v>
      </x:c>
    </x:row>
    <x:row r="4" ht="42" customHeight="1">
      <x:c r="A4" s="9" t="str">
        <x:v>RISK-2026-003</x:v>
      </x:c>
      <x:c r="B4" s="9" t="str">
        <x:v>江南信息</x:v>
      </x:c>
      <x:c r="C4" s="9" t="str">
        <x:v>SUP-002</x:v>
      </x:c>
      <x:c r="D4" s="9" t="str">
        <x:v>安全整改</x:v>
      </x:c>
      <x:c r="E4" s="9" t="str">
        <x:v>中</x:v>
      </x:c>
      <x:c r="F4" s="10" t="n">
        <x:v>46219</x:v>
      </x:c>
      <x:c r="G4" s="9" t="str">
        <x:v>统一身份组件</x:v>
      </x:c>
      <x:c r="H4" s="9" t="str">
        <x:v>集团知识底座项目</x:v>
      </x:c>
      <x:c r="I4" s="9" t="str">
        <x:v>风险管理部</x:v>
      </x:c>
      <x:c r="J4" s="9" t="str">
        <x:v>整改中</x:v>
      </x:c>
      <x:c r="K4" s="11" t="n">
        <x:f>IF(E4="高",5,IF(E4="中",3,1))</x:f>
        <x:v>3</x:v>
      </x:c>
      <x:c r="L4" s="9" t="str">
        <x:v>完成漏洞复核后关闭风险</x:v>
      </x:c>
      <x:c r="M4" s="9" t="str">
        <x:v>演示数据，不代表国联集团真实经营数据。</x:v>
      </x:c>
    </x:row>
    <x:row r="5" ht="42" customHeight="1">
      <x:c r="A5" s="9" t="str">
        <x:v>RISK-2026-004</x:v>
      </x:c>
      <x:c r="B5" s="9" t="str">
        <x:v>太湖云科</x:v>
      </x:c>
      <x:c r="C5" s="9" t="str">
        <x:v>SUP-003</x:v>
      </x:c>
      <x:c r="D5" s="9" t="str">
        <x:v>服务连续性</x:v>
      </x:c>
      <x:c r="E5" s="9" t="str">
        <x:v>低</x:v>
      </x:c>
      <x:c r="F5" s="10" t="n">
        <x:v>46184</x:v>
      </x:c>
      <x:c r="G5" s="9" t="str">
        <x:v>集团数据交换平台</x:v>
      </x:c>
      <x:c r="H5" s="9" t="str">
        <x:v>采购协同平台升级项目</x:v>
      </x:c>
      <x:c r="I5" s="9" t="str">
        <x:v>数字化管理部</x:v>
      </x:c>
      <x:c r="J5" s="9" t="str">
        <x:v>已缓解</x:v>
      </x:c>
      <x:c r="K5" s="11" t="n">
        <x:f>IF(E5="高",5,IF(E5="中",3,1))</x:f>
        <x:v>1</x:v>
      </x:c>
      <x:c r="L5" s="9" t="str">
        <x:v>保留应急切换演练记录</x:v>
      </x:c>
      <x:c r="M5" s="9" t="str">
        <x:v>演示数据，不代表国联集团真实经营数据。</x:v>
      </x:c>
    </x:row>
    <x:row r="6" ht="42" customHeight="1">
      <x:c r="A6" s="9" t="str">
        <x:v>RISK-2026-005</x:v>
      </x:c>
      <x:c r="B6" s="9" t="str">
        <x:v>华东系统集成</x:v>
      </x:c>
      <x:c r="C6" s="9" t="str">
        <x:v>SUP-004</x:v>
      </x:c>
      <x:c r="D6" s="9" t="str">
        <x:v>人员变更</x:v>
      </x:c>
      <x:c r="E6" s="9" t="str">
        <x:v>低</x:v>
      </x:c>
      <x:c r="F6" s="10" t="n">
        <x:v>46239</x:v>
      </x:c>
      <x:c r="G6" s="9" t="str">
        <x:v>智慧流程引擎</x:v>
      </x:c>
      <x:c r="H6" s="9" t="str">
        <x:v>智慧流程中枢项目</x:v>
      </x:c>
      <x:c r="I6" s="9" t="str">
        <x:v>项目管理办公室</x:v>
      </x:c>
      <x:c r="J6" s="9" t="str">
        <x:v>观察中</x:v>
      </x:c>
      <x:c r="K6" s="11" t="n">
        <x:f>IF(E6="高",5,IF(E6="中",3,1))</x:f>
        <x:v>1</x:v>
      </x:c>
      <x:c r="L6" s="9" t="str">
        <x:v>补齐关键岗位备份人员</x:v>
      </x:c>
      <x:c r="M6" s="9" t="str">
        <x:v>演示数据，不代表国联集团真实经营数据。</x:v>
      </x:c>
    </x:row>
    <x:row r="7" ht="42" customHeight="1">
      <x:c r="A7" s="9" t="str">
        <x:v>RISK-2026-006</x:v>
      </x:c>
      <x:c r="B7" s="9" t="str">
        <x:v>新城数据服务</x:v>
      </x:c>
      <x:c r="C7" s="9" t="str">
        <x:v>SUP-005</x:v>
      </x:c>
      <x:c r="D7" s="9" t="str">
        <x:v>材料缺失</x:v>
      </x:c>
      <x:c r="E7" s="9" t="str">
        <x:v>中</x:v>
      </x:c>
      <x:c r="F7" s="10" t="n">
        <x:v>46253</x:v>
      </x:c>
      <x:c r="G7" s="9"/>
      <x:c r="H7" s="9" t="str">
        <x:v>集团知识底座项目</x:v>
      </x:c>
      <x:c r="I7" s="9" t="str">
        <x:v>集团采购管理部</x:v>
      </x:c>
      <x:c r="J7" s="9" t="str">
        <x:v>待补充</x:v>
      </x:c>
      <x:c r="K7" s="11" t="n">
        <x:f>IF(E7="高",5,IF(E7="中",3,1))</x:f>
        <x:v>3</x:v>
      </x:c>
      <x:c r="L7" s="9" t="str">
        <x:v>补交资质文件并完成复核</x:v>
      </x:c>
      <x:c r="M7" s="9" t="str">
        <x:v>演示数据，不代表国联集团真实经营数据。</x:v>
      </x:c>
    </x:row>
  </x:sheetData>
  <x:conditionalFormatting sqref="K2:K7">
    <x:cfRule type="colorScale" priority="1">
      <x:colorScale>
        <x:cfvo type="min"/>
        <x:cfvo type="percentile" val="50"/>
        <x:cfvo type="max"/>
        <x:color rgb="FFE8F8EF"/>
        <x:color rgb="FFFFF3CD"/>
        <x:color rgb="FFFDECEC"/>
      </x:colorScale>
    </x:cfRule>
  </x:conditionalFormatting>
  <x:dataValidations count="2">
    <x:dataValidation type="list" sqref="E2:E7">
      <x:formula1>"高,中,低"</x:formula1>
    </x:dataValidation>
    <x:dataValidation type="list" sqref="J2:J7">
      <x:formula1>"待治理,跟踪中,整改中,观察中,待补充,已缓解,已关闭"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13" t="str">
        <x:v>等级</x:v>
      </x:c>
      <x:c r="B1" s="13" t="str">
        <x:v>默认评分</x:v>
      </x:c>
      <x:c r="C1" s="13" t="str">
        <x:v>治理含义</x:v>
      </x:c>
      <x:c r="D1" s="13" t="str">
        <x:v>演示说明</x:v>
      </x:c>
    </x:row>
    <x:row r="2" ht="36" customHeight="1">
      <x:c r="A2" s="15" t="str">
        <x:v>高</x:v>
      </x:c>
      <x:c r="B2" s="15" t="n">
        <x:v>5</x:v>
      </x:c>
      <x:c r="C2" s="15" t="str">
        <x:v>需要立即跟踪并明确责任部门</x:v>
      </x:c>
      <x:c r="D2" s="15" t="str">
        <x:v>演示数据，不代表国联集团真实经营数据。</x:v>
      </x:c>
    </x:row>
    <x:row r="3" ht="36" customHeight="1">
      <x:c r="A3" s="15" t="str">
        <x:v>中</x:v>
      </x:c>
      <x:c r="B3" s="15" t="n">
        <x:v>3</x:v>
      </x:c>
      <x:c r="C3" s="15" t="str">
        <x:v>需要补充证据或制定整改计划</x:v>
      </x:c>
      <x:c r="D3" s="15" t="str">
        <x:v>演示数据，不代表国联集团真实经营数据。</x:v>
      </x:c>
    </x:row>
    <x:row r="4" ht="36" customHeight="1">
      <x:c r="A4" s="15" t="str">
        <x:v>低</x:v>
      </x:c>
      <x:c r="B4" s="15" t="n">
        <x:v>1</x:v>
      </x:c>
      <x:c r="C4" s="15" t="str">
        <x:v>纳入例行观察，保留处置记录</x:v>
      </x:c>
      <x:c r="D4" s="15" t="str">
        <x:v>演示数据，不代表国联集团真实经营数据。</x:v>
      </x:c>
    </x:row>
    <x:row r="6" ht="32" customHeight="1">
      <x:c r="A6" s="13" t="str">
        <x:v>治理问题</x:v>
      </x:c>
      <x:c r="B6" s="13" t="str">
        <x:v>系统建议</x:v>
      </x:c>
      <x:c r="C6" s="13" t="str">
        <x:v>人工动作</x:v>
      </x:c>
      <x:c r="D6" s="13" t="str">
        <x:v>可回滚</x:v>
      </x:c>
    </x:row>
    <x:row r="7" ht="42" customHeight="1">
      <x:c r="A7" s="15" t="str">
        <x:v>供应商别名</x:v>
      </x:c>
      <x:c r="B7" s="15" t="str">
        <x:v>依据名称与统一编码提出合并建议</x:v>
      </x:c>
      <x:c r="C7" s="15" t="str">
        <x:v>确认、拆分或设置标准名称</x:v>
      </x:c>
      <x:c r="D7" s="15" t="str">
        <x:v>是</x:v>
      </x:c>
    </x:row>
    <x:row r="8" ht="42" customHeight="1">
      <x:c r="A8" s="15" t="str">
        <x:v>风险证据不足</x:v>
      </x:c>
      <x:c r="B8" s="15" t="str">
        <x:v>提示缺少来源或低置信度内容</x:v>
      </x:c>
      <x:c r="C8" s="15" t="str">
        <x:v>补充来源片段并重新加工</x:v>
      </x:c>
      <x:c r="D8" s="15" t="str">
        <x:v>是</x:v>
      </x:c>
    </x:row>
    <x:row r="9" ht="42" customHeight="1">
      <x:c r="A9" s="15" t="str">
        <x:v>文档版本冲突</x:v>
      </x:c>
      <x:c r="B9" s="15" t="str">
        <x:v>比较生效日期和条款差异</x:v>
      </x:c>
      <x:c r="C9" s="15" t="str">
        <x:v>选择当前有效版本</x:v>
      </x:c>
      <x:c r="D9" s="15" t="str">
        <x:v>是</x:v>
      </x:c>
    </x:row>
    <x:row r="10" ht="42" customHeight="1">
      <x:c r="A10" s="15" t="str">
        <x:v>敏感字段</x:v>
      </x:c>
      <x:c r="B10" s="15" t="str">
        <x:v>服务端禁止或脱敏</x:v>
      </x:c>
      <x:c r="C10" s="15" t="str">
        <x:v>配置预览策略</x:v>
      </x:c>
      <x:c r="D10" s="15" t="str">
        <x:v>是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6" customHeight="1">
      <x:c r="A1" s="19" t="str">
        <x:v>供应商风险概览（演示数据）</x:v>
      </x:c>
      <x:c r="B1" s="19"/>
      <x:c r="C1" s="19"/>
      <x:c r="D1" s="19"/>
      <x:c r="E1" s="19"/>
      <x:c r="F1" s="19"/>
    </x:row>
    <x:row r="3">
      <x:c r="A3" s="12" t="str">
        <x:v>指标</x:v>
      </x:c>
      <x:c r="B3" s="12" t="str">
        <x:v>结果</x:v>
      </x:c>
    </x:row>
    <x:row r="4" ht="34" customHeight="1">
      <x:c r="A4" s="21" t="str">
        <x:v>风险记录数</x:v>
      </x:c>
      <x:c r="B4" s="21" t="n">
        <x:f>COUNTA('供应商风险台账'!A2:A7)</x:f>
        <x:v>6</x:v>
      </x:c>
    </x:row>
    <x:row r="5" ht="34" customHeight="1">
      <x:c r="A5" s="21" t="str">
        <x:v>高风险数量</x:v>
      </x:c>
      <x:c r="B5" s="21" t="n">
        <x:f>COUNTIF('供应商风险台账'!E2:E7,"高")</x:f>
        <x:v>1</x:v>
      </x:c>
    </x:row>
    <x:row r="6" ht="34" customHeight="1">
      <x:c r="A6" s="21" t="str">
        <x:v>待治理数量</x:v>
      </x:c>
      <x:c r="B6" s="21" t="n">
        <x:f>COUNTIF('供应商风险台账'!J2:J7,"待治理")</x:f>
        <x:v>1</x:v>
      </x:c>
    </x:row>
    <x:row r="7" ht="34" customHeight="1">
      <x:c r="A7" s="21" t="str">
        <x:v>涉及项目记录数</x:v>
      </x:c>
      <x:c r="B7" s="21" t="n">
        <x:f>COUNTA('供应商风险台账'!H2:H7)</x:f>
        <x:v>6</x:v>
      </x:c>
    </x:row>
    <x:row r="9" ht="32" customHeight="1">
      <x:c r="A9" s="25" t="str">
        <x:v>演示数据，不代表国联集团真实经营数据。 本工作簿用于验证表格解析、自动分类、实体别名、风险治理和检索，不包含真实经营数据。</x:v>
      </x:c>
      <x:c r="B9" s="25"/>
      <x:c r="C9" s="25"/>
      <x:c r="D9" s="25"/>
      <x:c r="E9" s="25"/>
      <x:c r="F9" s="25"/>
    </x:row>
    <x:row r="10" ht="32" customHeight="1">
      <x:c r="A10" s="25"/>
      <x:c r="B10" s="25"/>
      <x:c r="C10" s="25"/>
      <x:c r="D10" s="25"/>
      <x:c r="E10" s="25"/>
      <x:c r="F10" s="25"/>
    </x:row>
  </x:sheetData>
  <x:mergeCells>
    <x:mergeCell ref="A1:F1"/>
    <x:mergeCell ref="A9:F10"/>
  </x:mergeCells>
  <x:pageMargins left="0.7" right="0.7" top="0.75" bottom="0.75" header="0.3" footer="0.3"/>
</x:worksheet>
</file>